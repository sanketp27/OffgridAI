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ckets" sheetId="1" state="visible" r:id="rId3"/>
    <sheet name="Summary" sheetId="2" state="visible" r:id="rId4"/>
  </sheets>
  <definedNames>
    <definedName function="false" hidden="true" localSheetId="0" name="_xlnm._FilterDatabase" vbProcedure="false">Tickets!$A$1:$K$54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<sst xmlns="http://schemas.openxmlformats.org/spreadsheetml/2006/main" count="544" uniqueCount="270">
  <si>
    <t xml:space="preserve">Ticket ID</t>
  </si>
  <si>
    <t xml:space="preserve">Title</t>
  </si>
  <si>
    <t xml:space="preserve">Description</t>
  </si>
  <si>
    <t xml:space="preserve">What To Do (Acceptance Criteria)</t>
  </si>
  <si>
    <t xml:space="preserve">Component</t>
  </si>
  <si>
    <t xml:space="preserve">Plan</t>
  </si>
  <si>
    <t xml:space="preserve">Priority</t>
  </si>
  <si>
    <t xml:space="preserve">Phase</t>
  </si>
  <si>
    <t xml:space="preserve">Est. Effort (hrs)</t>
  </si>
  <si>
    <t xml:space="preserve">Dependencies</t>
  </si>
  <si>
    <t xml:space="preserve">Status</t>
  </si>
  <si>
    <t xml:space="preserve">OG-001</t>
  </si>
  <si>
    <t xml:space="preserve">GCP project &amp; billing setup</t>
  </si>
  <si>
    <t xml:space="preserve">Create the Google Cloud project OffGrid will run in and enable required APIs.</t>
  </si>
  <si>
    <t xml:space="preserve">Create project; enable billing; enable Vertex AI API, Cloud Run API, Firestore API.</t>
  </si>
  <si>
    <t xml:space="preserve">Infra</t>
  </si>
  <si>
    <t xml:space="preserve">Both</t>
  </si>
  <si>
    <t xml:space="preserve">P0</t>
  </si>
  <si>
    <t xml:space="preserve">Phase 0 – Setup</t>
  </si>
  <si>
    <t xml:space="preserve">To Do</t>
  </si>
  <si>
    <t xml:space="preserve">OG-002</t>
  </si>
  <si>
    <t xml:space="preserve">Firebase project init</t>
  </si>
  <si>
    <t xml:space="preserve">Link a Firebase project to the GCP project for Hosting, Firestore, and Auth.</t>
  </si>
  <si>
    <t xml:space="preserve">Run firebase init; enable Hosting, Firestore, Auth in the console.</t>
  </si>
  <si>
    <t xml:space="preserve">OG-003</t>
  </si>
  <si>
    <t xml:space="preserve">Firestore schema setup</t>
  </si>
  <si>
    <t xml:space="preserve">Create the Firestore collections used by the shared event schema.</t>
  </si>
  <si>
    <t xml:space="preserve">Create collections: sessions, catalog, events, insights, matching the ER diagram in flow_diagram.md.</t>
  </si>
  <si>
    <t xml:space="preserve">Infra / Data</t>
  </si>
  <si>
    <t xml:space="preserve">OG-004</t>
  </si>
  <si>
    <t xml:space="preserve">Cloud Run service skeleton</t>
  </si>
  <si>
    <t xml:space="preserve">Deploy a minimal FastAPI service to Cloud Run to validate the deploy pipeline before agent code exists.</t>
  </si>
  <si>
    <t xml:space="preserve">Deploy 'hello world' endpoint; confirm public URL responds.</t>
  </si>
  <si>
    <t xml:space="preserve">OG-005</t>
  </si>
  <si>
    <t xml:space="preserve">Vertex AI Gemini access test</t>
  </si>
  <si>
    <t xml:space="preserve">Confirm service-account auth to Gemini works end to end before building on top of it.</t>
  </si>
  <si>
    <t xml:space="preserve">Call Gemini Flash from a local script; confirm a response is returned.</t>
  </si>
  <si>
    <t xml:space="preserve">OG-006</t>
  </si>
  <si>
    <t xml:space="preserve">Seed product catalog</t>
  </si>
  <si>
    <t xml:space="preserve">Build the demo catalog with realistic SKUs.</t>
  </si>
  <si>
    <t xml:space="preserve">Pull 300–500 SKUs (e.g. Kaggle Fashion Product Images); normalize into catalog schema (sku_id, name, category, price, stock, return_rate).</t>
  </si>
  <si>
    <t xml:space="preserve">Data</t>
  </si>
  <si>
    <t xml:space="preserve">Phase 1 – Data prep</t>
  </si>
  <si>
    <t xml:space="preserve">OG-007</t>
  </si>
  <si>
    <t xml:space="preserve">Generate catalog embeddings</t>
  </si>
  <si>
    <t xml:space="preserve">Create the vectors Discovery will search against.</t>
  </si>
  <si>
    <t xml:space="preserve">Run Gemini embeddings over each SKU's name + description; store as the catalog's vector field/index.</t>
  </si>
  <si>
    <t xml:space="preserve">OG-008</t>
  </si>
  <si>
    <t xml:space="preserve">Generate synthetic shopper queries</t>
  </si>
  <si>
    <t xml:space="preserve">Build a realistic query set including failure cases, so Discovery is tested against real-shaped input.</t>
  </si>
  <si>
    <t xml:space="preserve">Use Gemini to generate ~50 queries spanning matched, vague, misspelled, and zero-result cases.</t>
  </si>
  <si>
    <t xml:space="preserve">OG-009</t>
  </si>
  <si>
    <t xml:space="preserve">Assign SKU return rates</t>
  </si>
  <si>
    <t xml:space="preserve">Give Fit-Check something real to trigger on.</t>
  </si>
  <si>
    <t xml:space="preserve">Assign realistic return_rate values per category (apparel/footwear higher than average).</t>
  </si>
  <si>
    <t xml:space="preserve">OG-010</t>
  </si>
  <si>
    <t xml:space="preserve">Build multi-store stock matrix</t>
  </si>
  <si>
    <t xml:space="preserve">Support the Stockout Rescue scenario's local-availability check.</t>
  </si>
  <si>
    <t xml:space="preserve">Synthesize a store x SKU inventory table across 3-5 fictional stores.</t>
  </si>
  <si>
    <t xml:space="preserve">Plan A</t>
  </si>
  <si>
    <t xml:space="preserve">P1</t>
  </si>
  <si>
    <t xml:space="preserve">OG-011</t>
  </si>
  <si>
    <t xml:space="preserve">Source/generate return-condition photos</t>
  </si>
  <si>
    <t xml:space="preserve">Give the Return Intelligence Agent something real to grade.</t>
  </si>
  <si>
    <t xml:space="preserve">Collect or generate a small labeled image set: new / lightly-used / damaged.</t>
  </si>
  <si>
    <t xml:space="preserve">P2</t>
  </si>
  <si>
    <t xml:space="preserve">OG-012</t>
  </si>
  <si>
    <t xml:space="preserve">Implement structured-intent function calling</t>
  </si>
  <si>
    <t xml:space="preserve">Replace the separate Intent Agent with one Gemini Flash function-calling turn per the architecture review.</t>
  </si>
  <si>
    <t xml:space="preserve">Define a function schema (category, attributes, budget, use_case); confirm Gemini reliably fills it from varied inputs.</t>
  </si>
  <si>
    <t xml:space="preserve">Discovery Agent</t>
  </si>
  <si>
    <t xml:space="preserve">Phase 2 – Discovery</t>
  </si>
  <si>
    <t xml:space="preserve">OG-013</t>
  </si>
  <si>
    <t xml:space="preserve">Implement vector search retrieval</t>
  </si>
  <si>
    <t xml:space="preserve">Wire structured intent to the catalog.</t>
  </si>
  <si>
    <t xml:space="preserve">Structured intent -&gt; embedding -&gt; Firestore vector search -&gt; top-k SKUs with similarity scores.</t>
  </si>
  <si>
    <t xml:space="preserve">OG-007, OG-012</t>
  </si>
  <si>
    <t xml:space="preserve">OG-014</t>
  </si>
  <si>
    <t xml:space="preserve">Implement match-quality threshold &amp; near-match fallback</t>
  </si>
  <si>
    <t xml:space="preserve">Guarantee there is never a bare zero-result page.</t>
  </si>
  <si>
    <t xml:space="preserve">Score &gt;= 0.75 returns normal ranked results; below 0.75 explains the gap and shows near-matches instead.</t>
  </si>
  <si>
    <t xml:space="preserve">OG-015</t>
  </si>
  <si>
    <t xml:space="preserve">Implement grounded match explanations</t>
  </si>
  <si>
    <t xml:space="preserve">Prevent the agent from describing products it didn't retrieve.</t>
  </si>
  <si>
    <t xml:space="preserve">Gemini writes a one-line 'why this matches' per result using only the retrieved SKU's real attributes; add an explicit anti-hallucination instruction.</t>
  </si>
  <si>
    <t xml:space="preserve">OG-016</t>
  </si>
  <si>
    <t xml:space="preserve">Add image-query handling</t>
  </si>
  <si>
    <t xml:space="preserve">Support 'find something like this' photo search.</t>
  </si>
  <si>
    <t xml:space="preserve">Accept an uploaded photo; extract visual attributes via Gemini multimodal; feed into the same intent-&gt;retrieval pipeline as text.</t>
  </si>
  <si>
    <t xml:space="preserve">OG-017</t>
  </si>
  <si>
    <t xml:space="preserve">Log search/discovery events</t>
  </si>
  <si>
    <t xml:space="preserve">Feed the Insight pipeline.</t>
  </si>
  <si>
    <t xml:space="preserve">Every search call writes {type:'search', matched, score, sku_ids} to Firestore per the shared event schema.</t>
  </si>
  <si>
    <t xml:space="preserve">OG-003, OG-014</t>
  </si>
  <si>
    <t xml:space="preserve">OG-018</t>
  </si>
  <si>
    <t xml:space="preserve">Anti-hallucination test suite</t>
  </si>
  <si>
    <t xml:space="preserve">Prove the grounding guardrail actually holds under pressure.</t>
  </si>
  <si>
    <t xml:space="preserve">Write 10 adversarial prompts (e.g. 'recommend something you don't have'); confirm the agent only ever cites retrieved SKU IDs.</t>
  </si>
  <si>
    <t xml:space="preserve">OG-019</t>
  </si>
  <si>
    <t xml:space="preserve">Implement fit-check trigger logic</t>
  </si>
  <si>
    <t xml:space="preserve">Only interrupt checkout when it's actually likely to help.</t>
  </si>
  <si>
    <t xml:space="preserve">Trigger only when category is return-prone AND return_rate is above threshold; skip everything else.</t>
  </si>
  <si>
    <t xml:space="preserve">Fit-Check Agent</t>
  </si>
  <si>
    <t xml:space="preserve">Phase 3 – Fit-Check &amp; Insight</t>
  </si>
  <si>
    <t xml:space="preserve">OG-020</t>
  </si>
  <si>
    <t xml:space="preserve">Generate SKU-specific clarifying question</t>
  </si>
  <si>
    <t xml:space="preserve">Make the question feel specific, not like a generic form.</t>
  </si>
  <si>
    <t xml:space="preserve">Gemini writes one targeted question grounded in that SKU's actual return pattern (e.g. sizing vs. compatibility).</t>
  </si>
  <si>
    <t xml:space="preserve">OG-021</t>
  </si>
  <si>
    <t xml:space="preserve">Handle shopper response &amp; cart update</t>
  </si>
  <si>
    <t xml:space="preserve">Turn the answer into an action, not just a log line.</t>
  </si>
  <si>
    <t xml:space="preserve">Parse response into confirmed / size_changed / abandoned; update cart state accordingly; never block checkout.</t>
  </si>
  <si>
    <t xml:space="preserve">OG-022</t>
  </si>
  <si>
    <t xml:space="preserve">Log fit-check resolution events</t>
  </si>
  <si>
    <t xml:space="preserve">Feed the flip-rate signal the Insight agent needs.</t>
  </si>
  <si>
    <t xml:space="preserve">Write resolution outcome to Firestore per the shared event schema.</t>
  </si>
  <si>
    <t xml:space="preserve">OG-021, OG-003</t>
  </si>
  <si>
    <t xml:space="preserve">OG-023</t>
  </si>
  <si>
    <t xml:space="preserve">Implement event aggregation</t>
  </si>
  <si>
    <t xml:space="preserve">Pull the raw material for insight generation.</t>
  </si>
  <si>
    <t xml:space="preserve">Query Firestore for events in a given window (session-scoped for the demo; 7-day framing for production).</t>
  </si>
  <si>
    <t xml:space="preserve">Insight Agent</t>
  </si>
  <si>
    <t xml:space="preserve">OG-024</t>
  </si>
  <si>
    <t xml:space="preserve">Implement semantic clustering</t>
  </si>
  <si>
    <t xml:space="preserve">Group differently-worded queries that mean the same thing.</t>
  </si>
  <si>
    <t xml:space="preserve">For demo scale, hand Gemini the batch of raw query strings and ask it to group and label clusters directly.</t>
  </si>
  <si>
    <t xml:space="preserve">OG-025</t>
  </si>
  <si>
    <t xml:space="preserve">Implement code-based scoring</t>
  </si>
  <si>
    <t xml:space="preserve">Keep every number trustworthy — computed, not inferred.</t>
  </si>
  <si>
    <t xml:space="preserve">Compute occurrences, unique_shoppers, trend_pct, and revenue_at_risk in Python, never via the LLM.</t>
  </si>
  <si>
    <t xml:space="preserve">OG-026</t>
  </si>
  <si>
    <t xml:space="preserve">Classify signal type</t>
  </si>
  <si>
    <t xml:space="preserve">Distinguish 'buy more inventory' from 'fix the listing'.</t>
  </si>
  <si>
    <t xml:space="preserve">Rule-based classification into stock gap / discoverability gap / sizing confusion based on cluster + score features.</t>
  </si>
  <si>
    <t xml:space="preserve">OG-027</t>
  </si>
  <si>
    <t xml:space="preserve">Generate grounded merchant brief</t>
  </si>
  <si>
    <t xml:space="preserve">Turn the scored signal into plain language a merchant can act on.</t>
  </si>
  <si>
    <t xml:space="preserve">Gemini Pro writes prose strictly from the scored signal object; add a guardrail against inventing any figure.</t>
  </si>
  <si>
    <t xml:space="preserve">OG-028</t>
  </si>
  <si>
    <t xml:space="preserve">Wire on-demand 'Generate Insights' endpoint</t>
  </si>
  <si>
    <t xml:space="preserve">Make the loop visible live, not just in a nightly batch job.</t>
  </si>
  <si>
    <t xml:space="preserve">API endpoint that runs the full pipeline synchronously against current demo session data.</t>
  </si>
  <si>
    <t xml:space="preserve">OG-029</t>
  </si>
  <si>
    <t xml:space="preserve">Build shopper widget UI</t>
  </si>
  <si>
    <t xml:space="preserve">Give the shopper a real surface to interact with.</t>
  </si>
  <si>
    <t xml:space="preserve">Minimal embeddable widget: text input, image upload, result cards, fit-check question UI.</t>
  </si>
  <si>
    <t xml:space="preserve">Frontend</t>
  </si>
  <si>
    <t xml:space="preserve">Phase 4 – Frontend &amp; Deploy</t>
  </si>
  <si>
    <t xml:space="preserve">OG-016, OG-021</t>
  </si>
  <si>
    <t xml:space="preserve">OG-030</t>
  </si>
  <si>
    <t xml:space="preserve">Build demo storefront page</t>
  </si>
  <si>
    <t xml:space="preserve">Give the widget a believable context for the video.</t>
  </si>
  <si>
    <t xml:space="preserve">Simple product-grid page hosting the widget.</t>
  </si>
  <si>
    <t xml:space="preserve">OG-031</t>
  </si>
  <si>
    <t xml:space="preserve">Build merchant dashboard UI</t>
  </si>
  <si>
    <t xml:space="preserve">Give the business side a real surface.</t>
  </si>
  <si>
    <t xml:space="preserve">Insight cards with revenue-at-risk badges and trend arrows; wire the 'Generate Insights' button.</t>
  </si>
  <si>
    <t xml:space="preserve">OG-032</t>
  </si>
  <si>
    <t xml:space="preserve">Deploy frontend to Firebase Hosting</t>
  </si>
  <si>
    <t xml:space="preserve">Prove the whole thing works live, not just locally.</t>
  </si>
  <si>
    <t xml:space="preserve">Publish storefront + dashboard; confirm live URLs work end-to-end against the Cloud Run API.</t>
  </si>
  <si>
    <t xml:space="preserve">Frontend / Infra</t>
  </si>
  <si>
    <t xml:space="preserve">OG-030, OG-031, OG-004</t>
  </si>
  <si>
    <t xml:space="preserve">OG-048</t>
  </si>
  <si>
    <t xml:space="preserve">Iterative refinement</t>
  </si>
  <si>
    <t xml:space="preserve">Let a shopper narrow results conversationally instead of restarting the search each time.</t>
  </si>
  <si>
    <t xml:space="preserve">Maintain conversation context across turns; extend the existing function-calling schema so a follow-up like 'show me cheaper' or 'something bolder' modifies the current filters/results instead of triggering a fresh search.</t>
  </si>
  <si>
    <t xml:space="preserve">Phase 5A – Feature extensions (Plan A)</t>
  </si>
  <si>
    <t xml:space="preserve">OG-012, OG-014</t>
  </si>
  <si>
    <t xml:space="preserve">OG-049</t>
  </si>
  <si>
    <t xml:space="preserve">Multilingual &amp; voice-first search</t>
  </si>
  <si>
    <t xml:space="preserve">Let a shopper search by voice or in their own language.</t>
  </si>
  <si>
    <t xml:space="preserve">Add a voice-transcription input path; let Gemini handle translation + intent extraction natively (no separate translation step); test with at least 2 non-English languages.</t>
  </si>
  <si>
    <t xml:space="preserve">OG-012, OG-016</t>
  </si>
  <si>
    <t xml:space="preserve">OG-050</t>
  </si>
  <si>
    <t xml:space="preserve">Post-purchase fit follow-up</t>
  </si>
  <si>
    <t xml:space="preserve">Extend return-prevention past checkout using data already being logged.</t>
  </si>
  <si>
    <t xml:space="preserve">After a fit-check-flagged purchase, trigger one personalized follow-up (email/notification stub for the demo) referencing the specific fit-check resolution logged for that order.</t>
  </si>
  <si>
    <t xml:space="preserve">OG-051</t>
  </si>
  <si>
    <t xml:space="preserve">Ask-your-data merchant chat</t>
  </si>
  <si>
    <t xml:space="preserve">Turn the dashboard from static cards into something a merchant can interrogate live.</t>
  </si>
  <si>
    <t xml:space="preserve">Define query functions (get_events_by_filter, get_signal_by_type, etc.); wire a chat UI into the merchant dashboard; ground every answer in function results, never an invented number, reusing the existing Insight-agent guardrail pattern.</t>
  </si>
  <si>
    <t xml:space="preserve">OG-025, OG-027, OG-031</t>
  </si>
  <si>
    <t xml:space="preserve">OG-052</t>
  </si>
  <si>
    <t xml:space="preserve">Discoverability vs. stock vs. price-gap signal</t>
  </si>
  <si>
    <t xml:space="preserve">Add a fourth signal type so a good-match-but-no-conversion case isn't miscategorized as a stock gap.</t>
  </si>
  <si>
    <t xml:space="preserve">Extend the existing classify_signal_type logic (OG-026) with a branch that uses conversion-vs-match-score data to flag a pricing gap.</t>
  </si>
  <si>
    <t xml:space="preserve">OG-053</t>
  </si>
  <si>
    <t xml:space="preserve">Restock-by-date urgency</t>
  </si>
  <si>
    <t xml:space="preserve">Turn a flat 'restock' flag into an estimated deadline.</t>
  </si>
  <si>
    <t xml:space="preserve">Use the existing trend_pct and occurrence rate to estimate days-until-stockout; surface it in the generated merchant brief.</t>
  </si>
  <si>
    <t xml:space="preserve">OG-033</t>
  </si>
  <si>
    <t xml:space="preserve">Implement stockout detection</t>
  </si>
  <si>
    <t xml:space="preserve">Detect the trigger condition for Rescue Mode.</t>
  </si>
  <si>
    <t xml:space="preserve">Check requested SKU's stock == 0 at the shopper's local store before returning normal results.</t>
  </si>
  <si>
    <t xml:space="preserve">Discovery / Rescue</t>
  </si>
  <si>
    <t xml:space="preserve">Phase 5B – New scenarios (Plan A)</t>
  </si>
  <si>
    <t xml:space="preserve">OG-034</t>
  </si>
  <si>
    <t xml:space="preserve">Implement substitute ranking</t>
  </si>
  <si>
    <t xml:space="preserve">Find a real alternative, not a random one.</t>
  </si>
  <si>
    <t xml:space="preserve">Rank alternative in-stock SKUs by intent-match score.</t>
  </si>
  <si>
    <t xml:space="preserve">OG-035</t>
  </si>
  <si>
    <t xml:space="preserve">Generate plain-language trade-off explanation</t>
  </si>
  <si>
    <t xml:space="preserve">Make the substitute recommendation feel honest, not pushy.</t>
  </si>
  <si>
    <t xml:space="preserve">Gemini explains the price/timing trade-off grounded only in the real substitute SKU's data.</t>
  </si>
  <si>
    <t xml:space="preserve">OG-036</t>
  </si>
  <si>
    <t xml:space="preserve">Log rescue outcome</t>
  </si>
  <si>
    <t xml:space="preserve">Feed the Insight agent with rescue-specific signal.</t>
  </si>
  <si>
    <t xml:space="preserve">Log substitute_accepted / rescue_declined / stockout_lost events.</t>
  </si>
  <si>
    <t xml:space="preserve">OG-037</t>
  </si>
  <si>
    <t xml:space="preserve">Implement condition grading from photo</t>
  </si>
  <si>
    <t xml:space="preserve">Build the part of Return Intelligence that's actually feasible from an image.</t>
  </si>
  <si>
    <t xml:space="preserve">Gemini Flash Vision call classifies new / lightly-used / damaged from an uploaded return photo.</t>
  </si>
  <si>
    <t xml:space="preserve">Return Agent</t>
  </si>
  <si>
    <t xml:space="preserve">OG-038</t>
  </si>
  <si>
    <t xml:space="preserve">Implement code-based return-risk scoring</t>
  </si>
  <si>
    <t xml:space="preserve">Fix the review finding: fraud signals come from order history, not the photo.</t>
  </si>
  <si>
    <t xml:space="preserve">Compute return-risk features (return frequency, multi-size ordering pattern) from order history in code, separate from the photo-based condition signal.</t>
  </si>
  <si>
    <t xml:space="preserve">OG-039</t>
  </si>
  <si>
    <t xml:space="preserve">Add human-in-the-loop confirmation UI</t>
  </si>
  <si>
    <t xml:space="preserve">Fix the review finding: disposition must be a recommendation, not an automatic write.</t>
  </si>
  <si>
    <t xml:space="preserve">Associate PWA shows the disposition recommendation as a suggestion the associate must confirm before it's applied.</t>
  </si>
  <si>
    <t xml:space="preserve">Return Agent / Frontend</t>
  </si>
  <si>
    <t xml:space="preserve">OG-037, OG-038</t>
  </si>
  <si>
    <t xml:space="preserve">OG-040</t>
  </si>
  <si>
    <t xml:space="preserve">Fix duplicate Mermaid node ID</t>
  </si>
  <si>
    <t xml:space="preserve">Diagram bug fix flagged in review.</t>
  </si>
  <si>
    <t xml:space="preserve">Rename the outcome node 'S3' (RESTOCK) in flow_diagram.md Scenario 3 so it no longer collides with the start node 'S3'.</t>
  </si>
  <si>
    <t xml:space="preserve">Docs</t>
  </si>
  <si>
    <t xml:space="preserve">OG-041</t>
  </si>
  <si>
    <t xml:space="preserve">Rewrite Scenario 3 fraud claim</t>
  </si>
  <si>
    <t xml:space="preserve">Doc fix flagged in review; only relevant if Return Intelligence is being built.</t>
  </si>
  <si>
    <t xml:space="preserve">Update solution.md to separate photo-based condition grading from code-based return-risk scoring; remove the 'fraud signals from photo' claim.</t>
  </si>
  <si>
    <t xml:space="preserve">OG-042</t>
  </si>
  <si>
    <t xml:space="preserve">Replace leftover filename reference</t>
  </si>
  <si>
    <t xml:space="preserve">Cosmetic fix flagged in review.</t>
  </si>
  <si>
    <t xml:space="preserve">Rename embed/omnirerescue.js to match the OffGrid product name in architecture.md.</t>
  </si>
  <si>
    <t xml:space="preserve">OG-043</t>
  </si>
  <si>
    <t xml:space="preserve">Draft pitch deck (PDF)</t>
  </si>
  <si>
    <t xml:space="preserve">Build the mandatory proposal document.</t>
  </si>
  <si>
    <t xml:space="preserve">Problem, solution, architecture, live screenshots, judging-criteria alignment, honest scope/roadmap slide.</t>
  </si>
  <si>
    <t xml:space="preserve">Submission</t>
  </si>
  <si>
    <t xml:space="preserve">Phase 6 – Submission</t>
  </si>
  <si>
    <t xml:space="preserve">OG-044</t>
  </si>
  <si>
    <t xml:space="preserve">Write &amp; record 3-minute demo video</t>
  </si>
  <si>
    <t xml:space="preserve">Build the mandatory video.</t>
  </si>
  <si>
    <t xml:space="preserve">Script, record, and edit per the two-live-scenario + freeze-frame plan from the review.</t>
  </si>
  <si>
    <t xml:space="preserve">OG-045</t>
  </si>
  <si>
    <t xml:space="preserve">Finalize architecture diagram for deck</t>
  </si>
  <si>
    <t xml:space="preserve">Give judges a clean, honest picture of what's live vs. planned.</t>
  </si>
  <si>
    <t xml:space="preserve">Export a judge-facing version of the architecture diagram, labeled with P0 vs. P1/P2 scope.</t>
  </si>
  <si>
    <t xml:space="preserve">OG-046</t>
  </si>
  <si>
    <t xml:space="preserve">Repo README &amp; category statement</t>
  </si>
  <si>
    <t xml:space="preserve">Satisfy the 'clearly identify your category' requirement.</t>
  </si>
  <si>
    <t xml:space="preserve">Write setup instructions; explicitly state the chosen category (Retail &amp; Commerce).</t>
  </si>
  <si>
    <t xml:space="preserve">OG-047</t>
  </si>
  <si>
    <t xml:space="preserve">End-to-end deployment verification</t>
  </si>
  <si>
    <t xml:space="preserve">Final safety check before the deadline.</t>
  </si>
  <si>
    <t xml:space="preserve">Full run-through on the deployed (not local) URLs immediately before submission.</t>
  </si>
  <si>
    <t xml:space="preserve">OG-032, OG-043, OG-044</t>
  </si>
  <si>
    <t xml:space="preserve">OffGrid AI — Ticket Backlog Summary</t>
  </si>
  <si>
    <t xml:space="preserve">Total tickets</t>
  </si>
  <si>
    <t xml:space="preserve">P0 tickets</t>
  </si>
  <si>
    <t xml:space="preserve">P1 tickets</t>
  </si>
  <si>
    <t xml:space="preserve">P2 tickets</t>
  </si>
  <si>
    <t xml:space="preserve">Plan B (lean) scope — ticket count</t>
  </si>
  <si>
    <t xml:space="preserve">Plan B (lean) scope — total effort (hrs)</t>
  </si>
  <si>
    <t xml:space="preserve">Plan A stretch-only — ticket count</t>
  </si>
  <si>
    <t xml:space="preserve">Plan A stretch-only — total effort (hrs)</t>
  </si>
  <si>
    <t xml:space="preserve">Plan A full scope — total effort (hrs)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</si>
</sst>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b val="true"/>
      <sz val="10"/>
      <color rgb="FF8A4B0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FCE4E4"/>
        <bgColor rgb="FFE8EAED"/>
      </patternFill>
    </fill>
    <fill>
      <patternFill patternType="solid">
        <fgColor rgb="FFFFF3CD"/>
        <bgColor rgb="FFFCE4E4"/>
      </patternFill>
    </fill>
    <fill>
      <patternFill patternType="solid">
        <fgColor rgb="FFE8EAED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2C3E5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B5E20"/>
          <bgColor rgb="FF000000"/>
        </patternFill>
      </fill>
    </dxf>
    <dxf>
      <fill>
        <patternFill patternType="solid">
          <fgColor rgb="FF8A4B00"/>
          <bgColor rgb="FF000000"/>
        </patternFill>
      </fill>
    </dxf>
    <dxf>
      <fill>
        <patternFill patternType="solid">
          <fgColor rgb="FFE8EAED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3C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E8EA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A4B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38"/>
    <col collapsed="false" customWidth="true" hidden="false" outlineLevel="0" max="4" min="4" style="0" width="46"/>
    <col collapsed="false" customWidth="true" hidden="false" outlineLevel="0" max="5" min="5" style="0" width="16"/>
    <col collapsed="false" customWidth="true" hidden="false" outlineLevel="0" max="7" min="6" style="0" width="9"/>
    <col collapsed="false" customWidth="true" hidden="false" outlineLevel="0" max="8" min="8" style="0" width="22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1" min="11" style="0" width="1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3.85" hidden="false" customHeight="false" outlineLevel="0" collapsed="false">
      <c r="A2" s="2" t="s">
        <v>11</v>
      </c>
      <c r="B2" s="3" t="s">
        <v>12</v>
      </c>
      <c r="C2" s="4" t="s">
        <v>13</v>
      </c>
      <c r="D2" s="4" t="s">
        <v>14</v>
      </c>
      <c r="E2" s="3" t="s">
        <v>15</v>
      </c>
      <c r="F2" s="5" t="s">
        <v>16</v>
      </c>
      <c r="G2" s="6" t="s">
        <v>17</v>
      </c>
      <c r="H2" s="4" t="s">
        <v>18</v>
      </c>
      <c r="I2" s="7" t="n">
        <v>1</v>
      </c>
      <c r="J2" s="4"/>
      <c r="K2" s="3" t="s">
        <v>19</v>
      </c>
    </row>
    <row r="3" customFormat="false" ht="23.85" hidden="false" customHeight="false" outlineLevel="0" collapsed="false">
      <c r="A3" s="2" t="s">
        <v>20</v>
      </c>
      <c r="B3" s="3" t="s">
        <v>21</v>
      </c>
      <c r="C3" s="4" t="s">
        <v>22</v>
      </c>
      <c r="D3" s="4" t="s">
        <v>23</v>
      </c>
      <c r="E3" s="3" t="s">
        <v>15</v>
      </c>
      <c r="F3" s="5" t="s">
        <v>16</v>
      </c>
      <c r="G3" s="6" t="s">
        <v>17</v>
      </c>
      <c r="H3" s="4" t="s">
        <v>18</v>
      </c>
      <c r="I3" s="7" t="n">
        <v>1</v>
      </c>
      <c r="J3" s="4" t="s">
        <v>11</v>
      </c>
      <c r="K3" s="3" t="s">
        <v>19</v>
      </c>
    </row>
    <row r="4" customFormat="false" ht="23.85" hidden="false" customHeight="false" outlineLevel="0" collapsed="false">
      <c r="A4" s="2" t="s">
        <v>24</v>
      </c>
      <c r="B4" s="3" t="s">
        <v>25</v>
      </c>
      <c r="C4" s="4" t="s">
        <v>26</v>
      </c>
      <c r="D4" s="4" t="s">
        <v>27</v>
      </c>
      <c r="E4" s="3" t="s">
        <v>28</v>
      </c>
      <c r="F4" s="5" t="s">
        <v>16</v>
      </c>
      <c r="G4" s="6" t="s">
        <v>17</v>
      </c>
      <c r="H4" s="4" t="s">
        <v>18</v>
      </c>
      <c r="I4" s="7" t="n">
        <v>2</v>
      </c>
      <c r="J4" s="4" t="s">
        <v>20</v>
      </c>
      <c r="K4" s="3" t="s">
        <v>19</v>
      </c>
    </row>
    <row r="5" customFormat="false" ht="35.05" hidden="false" customHeight="false" outlineLevel="0" collapsed="false">
      <c r="A5" s="2" t="s">
        <v>29</v>
      </c>
      <c r="B5" s="3" t="s">
        <v>30</v>
      </c>
      <c r="C5" s="4" t="s">
        <v>31</v>
      </c>
      <c r="D5" s="4" t="s">
        <v>32</v>
      </c>
      <c r="E5" s="3" t="s">
        <v>15</v>
      </c>
      <c r="F5" s="5" t="s">
        <v>16</v>
      </c>
      <c r="G5" s="6" t="s">
        <v>17</v>
      </c>
      <c r="H5" s="4" t="s">
        <v>18</v>
      </c>
      <c r="I5" s="7" t="n">
        <v>2</v>
      </c>
      <c r="J5" s="4" t="s">
        <v>11</v>
      </c>
      <c r="K5" s="3" t="s">
        <v>19</v>
      </c>
    </row>
    <row r="6" customFormat="false" ht="23.85" hidden="false" customHeight="false" outlineLevel="0" collapsed="false">
      <c r="A6" s="2" t="s">
        <v>33</v>
      </c>
      <c r="B6" s="3" t="s">
        <v>34</v>
      </c>
      <c r="C6" s="4" t="s">
        <v>35</v>
      </c>
      <c r="D6" s="4" t="s">
        <v>36</v>
      </c>
      <c r="E6" s="3" t="s">
        <v>15</v>
      </c>
      <c r="F6" s="5" t="s">
        <v>16</v>
      </c>
      <c r="G6" s="6" t="s">
        <v>17</v>
      </c>
      <c r="H6" s="4" t="s">
        <v>18</v>
      </c>
      <c r="I6" s="7" t="n">
        <v>1</v>
      </c>
      <c r="J6" s="4" t="s">
        <v>11</v>
      </c>
      <c r="K6" s="3" t="s">
        <v>19</v>
      </c>
    </row>
    <row r="7" customFormat="false" ht="35.05" hidden="false" customHeight="false" outlineLevel="0" collapsed="false">
      <c r="A7" s="2" t="s">
        <v>37</v>
      </c>
      <c r="B7" s="3" t="s">
        <v>38</v>
      </c>
      <c r="C7" s="4" t="s">
        <v>39</v>
      </c>
      <c r="D7" s="4" t="s">
        <v>40</v>
      </c>
      <c r="E7" s="3" t="s">
        <v>41</v>
      </c>
      <c r="F7" s="5" t="s">
        <v>16</v>
      </c>
      <c r="G7" s="6" t="s">
        <v>17</v>
      </c>
      <c r="H7" s="4" t="s">
        <v>42</v>
      </c>
      <c r="I7" s="7" t="n">
        <v>4</v>
      </c>
      <c r="J7" s="4" t="s">
        <v>24</v>
      </c>
      <c r="K7" s="3" t="s">
        <v>19</v>
      </c>
    </row>
    <row r="8" customFormat="false" ht="23.85" hidden="false" customHeight="false" outlineLevel="0" collapsed="false">
      <c r="A8" s="2" t="s">
        <v>43</v>
      </c>
      <c r="B8" s="3" t="s">
        <v>44</v>
      </c>
      <c r="C8" s="4" t="s">
        <v>45</v>
      </c>
      <c r="D8" s="4" t="s">
        <v>46</v>
      </c>
      <c r="E8" s="3" t="s">
        <v>41</v>
      </c>
      <c r="F8" s="5" t="s">
        <v>16</v>
      </c>
      <c r="G8" s="6" t="s">
        <v>17</v>
      </c>
      <c r="H8" s="4" t="s">
        <v>42</v>
      </c>
      <c r="I8" s="7" t="n">
        <v>3</v>
      </c>
      <c r="J8" s="4" t="s">
        <v>37</v>
      </c>
      <c r="K8" s="3" t="s">
        <v>19</v>
      </c>
    </row>
    <row r="9" customFormat="false" ht="35.05" hidden="false" customHeight="false" outlineLevel="0" collapsed="false">
      <c r="A9" s="2" t="s">
        <v>47</v>
      </c>
      <c r="B9" s="3" t="s">
        <v>48</v>
      </c>
      <c r="C9" s="4" t="s">
        <v>49</v>
      </c>
      <c r="D9" s="4" t="s">
        <v>50</v>
      </c>
      <c r="E9" s="3" t="s">
        <v>41</v>
      </c>
      <c r="F9" s="5" t="s">
        <v>16</v>
      </c>
      <c r="G9" s="6" t="s">
        <v>17</v>
      </c>
      <c r="H9" s="4" t="s">
        <v>42</v>
      </c>
      <c r="I9" s="7" t="n">
        <v>2</v>
      </c>
      <c r="J9" s="4" t="s">
        <v>37</v>
      </c>
      <c r="K9" s="3" t="s">
        <v>19</v>
      </c>
    </row>
    <row r="10" customFormat="false" ht="23.85" hidden="false" customHeight="false" outlineLevel="0" collapsed="false">
      <c r="A10" s="2" t="s">
        <v>51</v>
      </c>
      <c r="B10" s="3" t="s">
        <v>52</v>
      </c>
      <c r="C10" s="4" t="s">
        <v>53</v>
      </c>
      <c r="D10" s="4" t="s">
        <v>54</v>
      </c>
      <c r="E10" s="3" t="s">
        <v>41</v>
      </c>
      <c r="F10" s="5" t="s">
        <v>16</v>
      </c>
      <c r="G10" s="6" t="s">
        <v>17</v>
      </c>
      <c r="H10" s="4" t="s">
        <v>42</v>
      </c>
      <c r="I10" s="7" t="n">
        <v>1</v>
      </c>
      <c r="J10" s="4" t="s">
        <v>37</v>
      </c>
      <c r="K10" s="3" t="s">
        <v>19</v>
      </c>
    </row>
    <row r="11" customFormat="false" ht="23.85" hidden="false" customHeight="false" outlineLevel="0" collapsed="false">
      <c r="A11" s="2" t="s">
        <v>55</v>
      </c>
      <c r="B11" s="3" t="s">
        <v>56</v>
      </c>
      <c r="C11" s="4" t="s">
        <v>57</v>
      </c>
      <c r="D11" s="4" t="s">
        <v>58</v>
      </c>
      <c r="E11" s="3" t="s">
        <v>41</v>
      </c>
      <c r="F11" s="8" t="s">
        <v>59</v>
      </c>
      <c r="G11" s="9" t="s">
        <v>60</v>
      </c>
      <c r="H11" s="4" t="s">
        <v>42</v>
      </c>
      <c r="I11" s="7" t="n">
        <v>3</v>
      </c>
      <c r="J11" s="4"/>
      <c r="K11" s="3" t="s">
        <v>19</v>
      </c>
    </row>
    <row r="12" customFormat="false" ht="23.85" hidden="false" customHeight="false" outlineLevel="0" collapsed="false">
      <c r="A12" s="2" t="s">
        <v>61</v>
      </c>
      <c r="B12" s="3" t="s">
        <v>62</v>
      </c>
      <c r="C12" s="4" t="s">
        <v>63</v>
      </c>
      <c r="D12" s="4" t="s">
        <v>64</v>
      </c>
      <c r="E12" s="3" t="s">
        <v>41</v>
      </c>
      <c r="F12" s="8" t="s">
        <v>59</v>
      </c>
      <c r="G12" s="10" t="s">
        <v>65</v>
      </c>
      <c r="H12" s="4" t="s">
        <v>42</v>
      </c>
      <c r="I12" s="7" t="n">
        <v>3</v>
      </c>
      <c r="J12" s="4"/>
      <c r="K12" s="3" t="s">
        <v>19</v>
      </c>
    </row>
    <row r="13" customFormat="false" ht="35.05" hidden="false" customHeight="false" outlineLevel="0" collapsed="false">
      <c r="A13" s="2" t="s">
        <v>66</v>
      </c>
      <c r="B13" s="3" t="s">
        <v>67</v>
      </c>
      <c r="C13" s="4" t="s">
        <v>68</v>
      </c>
      <c r="D13" s="4" t="s">
        <v>69</v>
      </c>
      <c r="E13" s="3" t="s">
        <v>70</v>
      </c>
      <c r="F13" s="5" t="s">
        <v>16</v>
      </c>
      <c r="G13" s="6" t="s">
        <v>17</v>
      </c>
      <c r="H13" s="4" t="s">
        <v>71</v>
      </c>
      <c r="I13" s="7" t="n">
        <v>4</v>
      </c>
      <c r="J13" s="4" t="s">
        <v>33</v>
      </c>
      <c r="K13" s="3" t="s">
        <v>19</v>
      </c>
    </row>
    <row r="14" customFormat="false" ht="23.85" hidden="false" customHeight="false" outlineLevel="0" collapsed="false">
      <c r="A14" s="2" t="s">
        <v>72</v>
      </c>
      <c r="B14" s="3" t="s">
        <v>73</v>
      </c>
      <c r="C14" s="4" t="s">
        <v>74</v>
      </c>
      <c r="D14" s="4" t="s">
        <v>75</v>
      </c>
      <c r="E14" s="3" t="s">
        <v>70</v>
      </c>
      <c r="F14" s="5" t="s">
        <v>16</v>
      </c>
      <c r="G14" s="6" t="s">
        <v>17</v>
      </c>
      <c r="H14" s="4" t="s">
        <v>71</v>
      </c>
      <c r="I14" s="7" t="n">
        <v>4</v>
      </c>
      <c r="J14" s="4" t="s">
        <v>76</v>
      </c>
      <c r="K14" s="3" t="s">
        <v>19</v>
      </c>
    </row>
    <row r="15" customFormat="false" ht="23.85" hidden="false" customHeight="false" outlineLevel="0" collapsed="false">
      <c r="A15" s="2" t="s">
        <v>77</v>
      </c>
      <c r="B15" s="3" t="s">
        <v>78</v>
      </c>
      <c r="C15" s="4" t="s">
        <v>79</v>
      </c>
      <c r="D15" s="4" t="s">
        <v>80</v>
      </c>
      <c r="E15" s="3" t="s">
        <v>70</v>
      </c>
      <c r="F15" s="5" t="s">
        <v>16</v>
      </c>
      <c r="G15" s="6" t="s">
        <v>17</v>
      </c>
      <c r="H15" s="4" t="s">
        <v>71</v>
      </c>
      <c r="I15" s="7" t="n">
        <v>3</v>
      </c>
      <c r="J15" s="4" t="s">
        <v>72</v>
      </c>
      <c r="K15" s="3" t="s">
        <v>19</v>
      </c>
    </row>
    <row r="16" customFormat="false" ht="35.05" hidden="false" customHeight="false" outlineLevel="0" collapsed="false">
      <c r="A16" s="2" t="s">
        <v>81</v>
      </c>
      <c r="B16" s="3" t="s">
        <v>82</v>
      </c>
      <c r="C16" s="4" t="s">
        <v>83</v>
      </c>
      <c r="D16" s="4" t="s">
        <v>84</v>
      </c>
      <c r="E16" s="3" t="s">
        <v>70</v>
      </c>
      <c r="F16" s="5" t="s">
        <v>16</v>
      </c>
      <c r="G16" s="6" t="s">
        <v>17</v>
      </c>
      <c r="H16" s="4" t="s">
        <v>71</v>
      </c>
      <c r="I16" s="7" t="n">
        <v>2</v>
      </c>
      <c r="J16" s="4" t="s">
        <v>77</v>
      </c>
      <c r="K16" s="3" t="s">
        <v>19</v>
      </c>
    </row>
    <row r="17" customFormat="false" ht="35.05" hidden="false" customHeight="false" outlineLevel="0" collapsed="false">
      <c r="A17" s="2" t="s">
        <v>85</v>
      </c>
      <c r="B17" s="3" t="s">
        <v>86</v>
      </c>
      <c r="C17" s="4" t="s">
        <v>87</v>
      </c>
      <c r="D17" s="4" t="s">
        <v>88</v>
      </c>
      <c r="E17" s="3" t="s">
        <v>70</v>
      </c>
      <c r="F17" s="5" t="s">
        <v>16</v>
      </c>
      <c r="G17" s="6" t="s">
        <v>17</v>
      </c>
      <c r="H17" s="4" t="s">
        <v>71</v>
      </c>
      <c r="I17" s="7" t="n">
        <v>3</v>
      </c>
      <c r="J17" s="4" t="s">
        <v>66</v>
      </c>
      <c r="K17" s="3" t="s">
        <v>19</v>
      </c>
    </row>
    <row r="18" customFormat="false" ht="23.85" hidden="false" customHeight="false" outlineLevel="0" collapsed="false">
      <c r="A18" s="2" t="s">
        <v>89</v>
      </c>
      <c r="B18" s="3" t="s">
        <v>90</v>
      </c>
      <c r="C18" s="4" t="s">
        <v>91</v>
      </c>
      <c r="D18" s="4" t="s">
        <v>92</v>
      </c>
      <c r="E18" s="3" t="s">
        <v>70</v>
      </c>
      <c r="F18" s="5" t="s">
        <v>16</v>
      </c>
      <c r="G18" s="6" t="s">
        <v>17</v>
      </c>
      <c r="H18" s="4" t="s">
        <v>71</v>
      </c>
      <c r="I18" s="7" t="n">
        <v>2</v>
      </c>
      <c r="J18" s="4" t="s">
        <v>93</v>
      </c>
      <c r="K18" s="3" t="s">
        <v>19</v>
      </c>
    </row>
    <row r="19" customFormat="false" ht="35.05" hidden="false" customHeight="false" outlineLevel="0" collapsed="false">
      <c r="A19" s="2" t="s">
        <v>94</v>
      </c>
      <c r="B19" s="3" t="s">
        <v>95</v>
      </c>
      <c r="C19" s="4" t="s">
        <v>96</v>
      </c>
      <c r="D19" s="4" t="s">
        <v>97</v>
      </c>
      <c r="E19" s="3" t="s">
        <v>70</v>
      </c>
      <c r="F19" s="5" t="s">
        <v>16</v>
      </c>
      <c r="G19" s="6" t="s">
        <v>17</v>
      </c>
      <c r="H19" s="4" t="s">
        <v>71</v>
      </c>
      <c r="I19" s="7" t="n">
        <v>2</v>
      </c>
      <c r="J19" s="4" t="s">
        <v>81</v>
      </c>
      <c r="K19" s="3" t="s">
        <v>19</v>
      </c>
    </row>
    <row r="20" customFormat="false" ht="23.85" hidden="false" customHeight="false" outlineLevel="0" collapsed="false">
      <c r="A20" s="2" t="s">
        <v>98</v>
      </c>
      <c r="B20" s="3" t="s">
        <v>99</v>
      </c>
      <c r="C20" s="4" t="s">
        <v>100</v>
      </c>
      <c r="D20" s="4" t="s">
        <v>101</v>
      </c>
      <c r="E20" s="3" t="s">
        <v>102</v>
      </c>
      <c r="F20" s="5" t="s">
        <v>16</v>
      </c>
      <c r="G20" s="6" t="s">
        <v>17</v>
      </c>
      <c r="H20" s="4" t="s">
        <v>103</v>
      </c>
      <c r="I20" s="7" t="n">
        <v>2</v>
      </c>
      <c r="J20" s="4" t="s">
        <v>51</v>
      </c>
      <c r="K20" s="3" t="s">
        <v>19</v>
      </c>
    </row>
    <row r="21" customFormat="false" ht="23.85" hidden="false" customHeight="false" outlineLevel="0" collapsed="false">
      <c r="A21" s="2" t="s">
        <v>104</v>
      </c>
      <c r="B21" s="3" t="s">
        <v>105</v>
      </c>
      <c r="C21" s="4" t="s">
        <v>106</v>
      </c>
      <c r="D21" s="4" t="s">
        <v>107</v>
      </c>
      <c r="E21" s="3" t="s">
        <v>102</v>
      </c>
      <c r="F21" s="5" t="s">
        <v>16</v>
      </c>
      <c r="G21" s="6" t="s">
        <v>17</v>
      </c>
      <c r="H21" s="4" t="s">
        <v>103</v>
      </c>
      <c r="I21" s="7" t="n">
        <v>2</v>
      </c>
      <c r="J21" s="4" t="s">
        <v>98</v>
      </c>
      <c r="K21" s="3" t="s">
        <v>19</v>
      </c>
    </row>
    <row r="22" customFormat="false" ht="35.05" hidden="false" customHeight="false" outlineLevel="0" collapsed="false">
      <c r="A22" s="2" t="s">
        <v>108</v>
      </c>
      <c r="B22" s="3" t="s">
        <v>109</v>
      </c>
      <c r="C22" s="4" t="s">
        <v>110</v>
      </c>
      <c r="D22" s="4" t="s">
        <v>111</v>
      </c>
      <c r="E22" s="3" t="s">
        <v>102</v>
      </c>
      <c r="F22" s="5" t="s">
        <v>16</v>
      </c>
      <c r="G22" s="6" t="s">
        <v>17</v>
      </c>
      <c r="H22" s="4" t="s">
        <v>103</v>
      </c>
      <c r="I22" s="7" t="n">
        <v>3</v>
      </c>
      <c r="J22" s="4" t="s">
        <v>104</v>
      </c>
      <c r="K22" s="3" t="s">
        <v>19</v>
      </c>
    </row>
    <row r="23" customFormat="false" ht="23.85" hidden="false" customHeight="false" outlineLevel="0" collapsed="false">
      <c r="A23" s="2" t="s">
        <v>112</v>
      </c>
      <c r="B23" s="3" t="s">
        <v>113</v>
      </c>
      <c r="C23" s="4" t="s">
        <v>114</v>
      </c>
      <c r="D23" s="4" t="s">
        <v>115</v>
      </c>
      <c r="E23" s="3" t="s">
        <v>102</v>
      </c>
      <c r="F23" s="5" t="s">
        <v>16</v>
      </c>
      <c r="G23" s="6" t="s">
        <v>17</v>
      </c>
      <c r="H23" s="4" t="s">
        <v>103</v>
      </c>
      <c r="I23" s="7" t="n">
        <v>1</v>
      </c>
      <c r="J23" s="4" t="s">
        <v>116</v>
      </c>
      <c r="K23" s="3" t="s">
        <v>19</v>
      </c>
    </row>
    <row r="24" customFormat="false" ht="23.85" hidden="false" customHeight="false" outlineLevel="0" collapsed="false">
      <c r="A24" s="2" t="s">
        <v>117</v>
      </c>
      <c r="B24" s="3" t="s">
        <v>118</v>
      </c>
      <c r="C24" s="4" t="s">
        <v>119</v>
      </c>
      <c r="D24" s="4" t="s">
        <v>120</v>
      </c>
      <c r="E24" s="3" t="s">
        <v>121</v>
      </c>
      <c r="F24" s="5" t="s">
        <v>16</v>
      </c>
      <c r="G24" s="6" t="s">
        <v>17</v>
      </c>
      <c r="H24" s="4" t="s">
        <v>103</v>
      </c>
      <c r="I24" s="7" t="n">
        <v>2</v>
      </c>
      <c r="J24" s="4" t="s">
        <v>89</v>
      </c>
      <c r="K24" s="3" t="s">
        <v>19</v>
      </c>
    </row>
    <row r="25" customFormat="false" ht="23.85" hidden="false" customHeight="false" outlineLevel="0" collapsed="false">
      <c r="A25" s="2" t="s">
        <v>122</v>
      </c>
      <c r="B25" s="3" t="s">
        <v>123</v>
      </c>
      <c r="C25" s="4" t="s">
        <v>124</v>
      </c>
      <c r="D25" s="4" t="s">
        <v>125</v>
      </c>
      <c r="E25" s="3" t="s">
        <v>121</v>
      </c>
      <c r="F25" s="5" t="s">
        <v>16</v>
      </c>
      <c r="G25" s="6" t="s">
        <v>17</v>
      </c>
      <c r="H25" s="4" t="s">
        <v>103</v>
      </c>
      <c r="I25" s="7" t="n">
        <v>3</v>
      </c>
      <c r="J25" s="4" t="s">
        <v>117</v>
      </c>
      <c r="K25" s="3" t="s">
        <v>19</v>
      </c>
    </row>
    <row r="26" customFormat="false" ht="23.85" hidden="false" customHeight="false" outlineLevel="0" collapsed="false">
      <c r="A26" s="2" t="s">
        <v>126</v>
      </c>
      <c r="B26" s="3" t="s">
        <v>127</v>
      </c>
      <c r="C26" s="4" t="s">
        <v>128</v>
      </c>
      <c r="D26" s="4" t="s">
        <v>129</v>
      </c>
      <c r="E26" s="3" t="s">
        <v>121</v>
      </c>
      <c r="F26" s="5" t="s">
        <v>16</v>
      </c>
      <c r="G26" s="6" t="s">
        <v>17</v>
      </c>
      <c r="H26" s="4" t="s">
        <v>103</v>
      </c>
      <c r="I26" s="7" t="n">
        <v>3</v>
      </c>
      <c r="J26" s="4" t="s">
        <v>122</v>
      </c>
      <c r="K26" s="3" t="s">
        <v>19</v>
      </c>
    </row>
    <row r="27" customFormat="false" ht="23.85" hidden="false" customHeight="false" outlineLevel="0" collapsed="false">
      <c r="A27" s="2" t="s">
        <v>130</v>
      </c>
      <c r="B27" s="3" t="s">
        <v>131</v>
      </c>
      <c r="C27" s="4" t="s">
        <v>132</v>
      </c>
      <c r="D27" s="4" t="s">
        <v>133</v>
      </c>
      <c r="E27" s="3" t="s">
        <v>121</v>
      </c>
      <c r="F27" s="5" t="s">
        <v>16</v>
      </c>
      <c r="G27" s="6" t="s">
        <v>17</v>
      </c>
      <c r="H27" s="4" t="s">
        <v>103</v>
      </c>
      <c r="I27" s="7" t="n">
        <v>2</v>
      </c>
      <c r="J27" s="4" t="s">
        <v>126</v>
      </c>
      <c r="K27" s="3" t="s">
        <v>19</v>
      </c>
    </row>
    <row r="28" customFormat="false" ht="23.85" hidden="false" customHeight="false" outlineLevel="0" collapsed="false">
      <c r="A28" s="2" t="s">
        <v>134</v>
      </c>
      <c r="B28" s="3" t="s">
        <v>135</v>
      </c>
      <c r="C28" s="4" t="s">
        <v>136</v>
      </c>
      <c r="D28" s="4" t="s">
        <v>137</v>
      </c>
      <c r="E28" s="3" t="s">
        <v>121</v>
      </c>
      <c r="F28" s="5" t="s">
        <v>16</v>
      </c>
      <c r="G28" s="6" t="s">
        <v>17</v>
      </c>
      <c r="H28" s="4" t="s">
        <v>103</v>
      </c>
      <c r="I28" s="7" t="n">
        <v>2</v>
      </c>
      <c r="J28" s="4" t="s">
        <v>130</v>
      </c>
      <c r="K28" s="3" t="s">
        <v>19</v>
      </c>
    </row>
    <row r="29" customFormat="false" ht="23.85" hidden="false" customHeight="false" outlineLevel="0" collapsed="false">
      <c r="A29" s="2" t="s">
        <v>138</v>
      </c>
      <c r="B29" s="3" t="s">
        <v>139</v>
      </c>
      <c r="C29" s="4" t="s">
        <v>140</v>
      </c>
      <c r="D29" s="4" t="s">
        <v>141</v>
      </c>
      <c r="E29" s="3" t="s">
        <v>121</v>
      </c>
      <c r="F29" s="5" t="s">
        <v>16</v>
      </c>
      <c r="G29" s="6" t="s">
        <v>17</v>
      </c>
      <c r="H29" s="4" t="s">
        <v>103</v>
      </c>
      <c r="I29" s="7" t="n">
        <v>2</v>
      </c>
      <c r="J29" s="4" t="s">
        <v>134</v>
      </c>
      <c r="K29" s="3" t="s">
        <v>19</v>
      </c>
    </row>
    <row r="30" customFormat="false" ht="23.85" hidden="false" customHeight="false" outlineLevel="0" collapsed="false">
      <c r="A30" s="2" t="s">
        <v>142</v>
      </c>
      <c r="B30" s="3" t="s">
        <v>143</v>
      </c>
      <c r="C30" s="4" t="s">
        <v>144</v>
      </c>
      <c r="D30" s="4" t="s">
        <v>145</v>
      </c>
      <c r="E30" s="3" t="s">
        <v>146</v>
      </c>
      <c r="F30" s="5" t="s">
        <v>16</v>
      </c>
      <c r="G30" s="6" t="s">
        <v>17</v>
      </c>
      <c r="H30" s="4" t="s">
        <v>147</v>
      </c>
      <c r="I30" s="7" t="n">
        <v>5</v>
      </c>
      <c r="J30" s="4" t="s">
        <v>148</v>
      </c>
      <c r="K30" s="3" t="s">
        <v>19</v>
      </c>
    </row>
    <row r="31" customFormat="false" ht="23.85" hidden="false" customHeight="false" outlineLevel="0" collapsed="false">
      <c r="A31" s="2" t="s">
        <v>149</v>
      </c>
      <c r="B31" s="3" t="s">
        <v>150</v>
      </c>
      <c r="C31" s="4" t="s">
        <v>151</v>
      </c>
      <c r="D31" s="4" t="s">
        <v>152</v>
      </c>
      <c r="E31" s="3" t="s">
        <v>146</v>
      </c>
      <c r="F31" s="5" t="s">
        <v>16</v>
      </c>
      <c r="G31" s="6" t="s">
        <v>17</v>
      </c>
      <c r="H31" s="4" t="s">
        <v>147</v>
      </c>
      <c r="I31" s="7" t="n">
        <v>3</v>
      </c>
      <c r="J31" s="4" t="s">
        <v>142</v>
      </c>
      <c r="K31" s="3" t="s">
        <v>19</v>
      </c>
    </row>
    <row r="32" customFormat="false" ht="23.85" hidden="false" customHeight="false" outlineLevel="0" collapsed="false">
      <c r="A32" s="2" t="s">
        <v>153</v>
      </c>
      <c r="B32" s="3" t="s">
        <v>154</v>
      </c>
      <c r="C32" s="4" t="s">
        <v>155</v>
      </c>
      <c r="D32" s="4" t="s">
        <v>156</v>
      </c>
      <c r="E32" s="3" t="s">
        <v>146</v>
      </c>
      <c r="F32" s="5" t="s">
        <v>16</v>
      </c>
      <c r="G32" s="6" t="s">
        <v>17</v>
      </c>
      <c r="H32" s="4" t="s">
        <v>147</v>
      </c>
      <c r="I32" s="7" t="n">
        <v>4</v>
      </c>
      <c r="J32" s="4" t="s">
        <v>138</v>
      </c>
      <c r="K32" s="3" t="s">
        <v>19</v>
      </c>
    </row>
    <row r="33" customFormat="false" ht="23.85" hidden="false" customHeight="false" outlineLevel="0" collapsed="false">
      <c r="A33" s="2" t="s">
        <v>157</v>
      </c>
      <c r="B33" s="3" t="s">
        <v>158</v>
      </c>
      <c r="C33" s="4" t="s">
        <v>159</v>
      </c>
      <c r="D33" s="4" t="s">
        <v>160</v>
      </c>
      <c r="E33" s="3" t="s">
        <v>161</v>
      </c>
      <c r="F33" s="5" t="s">
        <v>16</v>
      </c>
      <c r="G33" s="6" t="s">
        <v>17</v>
      </c>
      <c r="H33" s="4" t="s">
        <v>147</v>
      </c>
      <c r="I33" s="7" t="n">
        <v>2</v>
      </c>
      <c r="J33" s="4" t="s">
        <v>162</v>
      </c>
      <c r="K33" s="3" t="s">
        <v>19</v>
      </c>
    </row>
    <row r="34" customFormat="false" ht="46.25" hidden="false" customHeight="false" outlineLevel="0" collapsed="false">
      <c r="A34" s="2" t="s">
        <v>163</v>
      </c>
      <c r="B34" s="3" t="s">
        <v>164</v>
      </c>
      <c r="C34" s="4" t="s">
        <v>165</v>
      </c>
      <c r="D34" s="4" t="s">
        <v>166</v>
      </c>
      <c r="E34" s="3" t="s">
        <v>70</v>
      </c>
      <c r="F34" s="8" t="s">
        <v>59</v>
      </c>
      <c r="G34" s="9" t="s">
        <v>60</v>
      </c>
      <c r="H34" s="4" t="s">
        <v>167</v>
      </c>
      <c r="I34" s="7" t="n">
        <v>3</v>
      </c>
      <c r="J34" s="4" t="s">
        <v>168</v>
      </c>
      <c r="K34" s="3" t="s">
        <v>19</v>
      </c>
    </row>
    <row r="35" customFormat="false" ht="46.25" hidden="false" customHeight="false" outlineLevel="0" collapsed="false">
      <c r="A35" s="2" t="s">
        <v>169</v>
      </c>
      <c r="B35" s="3" t="s">
        <v>170</v>
      </c>
      <c r="C35" s="4" t="s">
        <v>171</v>
      </c>
      <c r="D35" s="4" t="s">
        <v>172</v>
      </c>
      <c r="E35" s="3" t="s">
        <v>70</v>
      </c>
      <c r="F35" s="8" t="s">
        <v>59</v>
      </c>
      <c r="G35" s="9" t="s">
        <v>60</v>
      </c>
      <c r="H35" s="4" t="s">
        <v>167</v>
      </c>
      <c r="I35" s="7" t="n">
        <v>4</v>
      </c>
      <c r="J35" s="4" t="s">
        <v>173</v>
      </c>
      <c r="K35" s="3" t="s">
        <v>19</v>
      </c>
    </row>
    <row r="36" customFormat="false" ht="46.25" hidden="false" customHeight="false" outlineLevel="0" collapsed="false">
      <c r="A36" s="2" t="s">
        <v>174</v>
      </c>
      <c r="B36" s="3" t="s">
        <v>175</v>
      </c>
      <c r="C36" s="4" t="s">
        <v>176</v>
      </c>
      <c r="D36" s="4" t="s">
        <v>177</v>
      </c>
      <c r="E36" s="3" t="s">
        <v>102</v>
      </c>
      <c r="F36" s="8" t="s">
        <v>59</v>
      </c>
      <c r="G36" s="9" t="s">
        <v>60</v>
      </c>
      <c r="H36" s="4" t="s">
        <v>167</v>
      </c>
      <c r="I36" s="7" t="n">
        <v>2</v>
      </c>
      <c r="J36" s="4" t="s">
        <v>112</v>
      </c>
      <c r="K36" s="3" t="s">
        <v>19</v>
      </c>
    </row>
    <row r="37" customFormat="false" ht="57.45" hidden="false" customHeight="false" outlineLevel="0" collapsed="false">
      <c r="A37" s="2" t="s">
        <v>178</v>
      </c>
      <c r="B37" s="3" t="s">
        <v>179</v>
      </c>
      <c r="C37" s="4" t="s">
        <v>180</v>
      </c>
      <c r="D37" s="4" t="s">
        <v>181</v>
      </c>
      <c r="E37" s="3" t="s">
        <v>121</v>
      </c>
      <c r="F37" s="8" t="s">
        <v>59</v>
      </c>
      <c r="G37" s="9" t="s">
        <v>60</v>
      </c>
      <c r="H37" s="4" t="s">
        <v>167</v>
      </c>
      <c r="I37" s="7" t="n">
        <v>5</v>
      </c>
      <c r="J37" s="4" t="s">
        <v>182</v>
      </c>
      <c r="K37" s="3" t="s">
        <v>19</v>
      </c>
    </row>
    <row r="38" customFormat="false" ht="35.05" hidden="false" customHeight="false" outlineLevel="0" collapsed="false">
      <c r="A38" s="2" t="s">
        <v>183</v>
      </c>
      <c r="B38" s="3" t="s">
        <v>184</v>
      </c>
      <c r="C38" s="4" t="s">
        <v>185</v>
      </c>
      <c r="D38" s="4" t="s">
        <v>186</v>
      </c>
      <c r="E38" s="3" t="s">
        <v>121</v>
      </c>
      <c r="F38" s="8" t="s">
        <v>59</v>
      </c>
      <c r="G38" s="9" t="s">
        <v>60</v>
      </c>
      <c r="H38" s="4" t="s">
        <v>167</v>
      </c>
      <c r="I38" s="7" t="n">
        <v>2</v>
      </c>
      <c r="J38" s="4" t="s">
        <v>130</v>
      </c>
      <c r="K38" s="3" t="s">
        <v>19</v>
      </c>
    </row>
    <row r="39" customFormat="false" ht="35.05" hidden="false" customHeight="false" outlineLevel="0" collapsed="false">
      <c r="A39" s="2" t="s">
        <v>187</v>
      </c>
      <c r="B39" s="3" t="s">
        <v>188</v>
      </c>
      <c r="C39" s="4" t="s">
        <v>189</v>
      </c>
      <c r="D39" s="4" t="s">
        <v>190</v>
      </c>
      <c r="E39" s="3" t="s">
        <v>121</v>
      </c>
      <c r="F39" s="8" t="s">
        <v>59</v>
      </c>
      <c r="G39" s="9" t="s">
        <v>60</v>
      </c>
      <c r="H39" s="4" t="s">
        <v>167</v>
      </c>
      <c r="I39" s="7" t="n">
        <v>1.5</v>
      </c>
      <c r="J39" s="4" t="s">
        <v>126</v>
      </c>
      <c r="K39" s="3" t="s">
        <v>19</v>
      </c>
    </row>
    <row r="40" customFormat="false" ht="23.85" hidden="false" customHeight="false" outlineLevel="0" collapsed="false">
      <c r="A40" s="2" t="s">
        <v>191</v>
      </c>
      <c r="B40" s="3" t="s">
        <v>192</v>
      </c>
      <c r="C40" s="4" t="s">
        <v>193</v>
      </c>
      <c r="D40" s="4" t="s">
        <v>194</v>
      </c>
      <c r="E40" s="3" t="s">
        <v>195</v>
      </c>
      <c r="F40" s="8" t="s">
        <v>59</v>
      </c>
      <c r="G40" s="9" t="s">
        <v>60</v>
      </c>
      <c r="H40" s="4" t="s">
        <v>196</v>
      </c>
      <c r="I40" s="7" t="n">
        <v>2</v>
      </c>
      <c r="J40" s="4" t="s">
        <v>55</v>
      </c>
      <c r="K40" s="3" t="s">
        <v>19</v>
      </c>
    </row>
    <row r="41" customFormat="false" ht="23.85" hidden="false" customHeight="false" outlineLevel="0" collapsed="false">
      <c r="A41" s="2" t="s">
        <v>197</v>
      </c>
      <c r="B41" s="3" t="s">
        <v>198</v>
      </c>
      <c r="C41" s="4" t="s">
        <v>199</v>
      </c>
      <c r="D41" s="4" t="s">
        <v>200</v>
      </c>
      <c r="E41" s="3" t="s">
        <v>195</v>
      </c>
      <c r="F41" s="8" t="s">
        <v>59</v>
      </c>
      <c r="G41" s="9" t="s">
        <v>60</v>
      </c>
      <c r="H41" s="4" t="s">
        <v>196</v>
      </c>
      <c r="I41" s="7" t="n">
        <v>3</v>
      </c>
      <c r="J41" s="4" t="s">
        <v>191</v>
      </c>
      <c r="K41" s="3" t="s">
        <v>19</v>
      </c>
    </row>
    <row r="42" customFormat="false" ht="23.85" hidden="false" customHeight="false" outlineLevel="0" collapsed="false">
      <c r="A42" s="2" t="s">
        <v>201</v>
      </c>
      <c r="B42" s="3" t="s">
        <v>202</v>
      </c>
      <c r="C42" s="4" t="s">
        <v>203</v>
      </c>
      <c r="D42" s="4" t="s">
        <v>204</v>
      </c>
      <c r="E42" s="3" t="s">
        <v>195</v>
      </c>
      <c r="F42" s="8" t="s">
        <v>59</v>
      </c>
      <c r="G42" s="9" t="s">
        <v>60</v>
      </c>
      <c r="H42" s="4" t="s">
        <v>196</v>
      </c>
      <c r="I42" s="7" t="n">
        <v>2</v>
      </c>
      <c r="J42" s="4" t="s">
        <v>197</v>
      </c>
      <c r="K42" s="3" t="s">
        <v>19</v>
      </c>
    </row>
    <row r="43" customFormat="false" ht="23.85" hidden="false" customHeight="false" outlineLevel="0" collapsed="false">
      <c r="A43" s="2" t="s">
        <v>205</v>
      </c>
      <c r="B43" s="3" t="s">
        <v>206</v>
      </c>
      <c r="C43" s="4" t="s">
        <v>207</v>
      </c>
      <c r="D43" s="4" t="s">
        <v>208</v>
      </c>
      <c r="E43" s="3" t="s">
        <v>195</v>
      </c>
      <c r="F43" s="8" t="s">
        <v>59</v>
      </c>
      <c r="G43" s="9" t="s">
        <v>60</v>
      </c>
      <c r="H43" s="4" t="s">
        <v>196</v>
      </c>
      <c r="I43" s="7" t="n">
        <v>1</v>
      </c>
      <c r="J43" s="4" t="s">
        <v>201</v>
      </c>
      <c r="K43" s="3" t="s">
        <v>19</v>
      </c>
    </row>
    <row r="44" customFormat="false" ht="23.85" hidden="false" customHeight="false" outlineLevel="0" collapsed="false">
      <c r="A44" s="2" t="s">
        <v>209</v>
      </c>
      <c r="B44" s="3" t="s">
        <v>210</v>
      </c>
      <c r="C44" s="4" t="s">
        <v>211</v>
      </c>
      <c r="D44" s="4" t="s">
        <v>212</v>
      </c>
      <c r="E44" s="3" t="s">
        <v>213</v>
      </c>
      <c r="F44" s="8" t="s">
        <v>59</v>
      </c>
      <c r="G44" s="10" t="s">
        <v>65</v>
      </c>
      <c r="H44" s="4" t="s">
        <v>196</v>
      </c>
      <c r="I44" s="7" t="n">
        <v>3</v>
      </c>
      <c r="J44" s="4" t="s">
        <v>61</v>
      </c>
      <c r="K44" s="3" t="s">
        <v>19</v>
      </c>
    </row>
    <row r="45" customFormat="false" ht="35.05" hidden="false" customHeight="false" outlineLevel="0" collapsed="false">
      <c r="A45" s="2" t="s">
        <v>214</v>
      </c>
      <c r="B45" s="3" t="s">
        <v>215</v>
      </c>
      <c r="C45" s="4" t="s">
        <v>216</v>
      </c>
      <c r="D45" s="4" t="s">
        <v>217</v>
      </c>
      <c r="E45" s="3" t="s">
        <v>213</v>
      </c>
      <c r="F45" s="8" t="s">
        <v>59</v>
      </c>
      <c r="G45" s="10" t="s">
        <v>65</v>
      </c>
      <c r="H45" s="4" t="s">
        <v>196</v>
      </c>
      <c r="I45" s="7" t="n">
        <v>4</v>
      </c>
      <c r="J45" s="4" t="s">
        <v>37</v>
      </c>
      <c r="K45" s="3" t="s">
        <v>19</v>
      </c>
    </row>
    <row r="46" customFormat="false" ht="35.05" hidden="false" customHeight="false" outlineLevel="0" collapsed="false">
      <c r="A46" s="2" t="s">
        <v>218</v>
      </c>
      <c r="B46" s="3" t="s">
        <v>219</v>
      </c>
      <c r="C46" s="4" t="s">
        <v>220</v>
      </c>
      <c r="D46" s="4" t="s">
        <v>221</v>
      </c>
      <c r="E46" s="3" t="s">
        <v>222</v>
      </c>
      <c r="F46" s="8" t="s">
        <v>59</v>
      </c>
      <c r="G46" s="10" t="s">
        <v>65</v>
      </c>
      <c r="H46" s="4" t="s">
        <v>196</v>
      </c>
      <c r="I46" s="7" t="n">
        <v>3</v>
      </c>
      <c r="J46" s="4" t="s">
        <v>223</v>
      </c>
      <c r="K46" s="3" t="s">
        <v>19</v>
      </c>
    </row>
    <row r="47" customFormat="false" ht="35.05" hidden="false" customHeight="false" outlineLevel="0" collapsed="false">
      <c r="A47" s="2" t="s">
        <v>224</v>
      </c>
      <c r="B47" s="3" t="s">
        <v>225</v>
      </c>
      <c r="C47" s="4" t="s">
        <v>226</v>
      </c>
      <c r="D47" s="4" t="s">
        <v>227</v>
      </c>
      <c r="E47" s="3" t="s">
        <v>228</v>
      </c>
      <c r="F47" s="5" t="s">
        <v>16</v>
      </c>
      <c r="G47" s="6" t="s">
        <v>17</v>
      </c>
      <c r="H47" s="4" t="s">
        <v>42</v>
      </c>
      <c r="I47" s="7" t="n">
        <v>0.5</v>
      </c>
      <c r="J47" s="4"/>
      <c r="K47" s="3" t="s">
        <v>19</v>
      </c>
    </row>
    <row r="48" customFormat="false" ht="35.05" hidden="false" customHeight="false" outlineLevel="0" collapsed="false">
      <c r="A48" s="2" t="s">
        <v>229</v>
      </c>
      <c r="B48" s="3" t="s">
        <v>230</v>
      </c>
      <c r="C48" s="4" t="s">
        <v>231</v>
      </c>
      <c r="D48" s="4" t="s">
        <v>232</v>
      </c>
      <c r="E48" s="3" t="s">
        <v>228</v>
      </c>
      <c r="F48" s="8" t="s">
        <v>59</v>
      </c>
      <c r="G48" s="9" t="s">
        <v>60</v>
      </c>
      <c r="H48" s="4" t="s">
        <v>42</v>
      </c>
      <c r="I48" s="7" t="n">
        <v>1</v>
      </c>
      <c r="J48" s="4"/>
      <c r="K48" s="3" t="s">
        <v>19</v>
      </c>
    </row>
    <row r="49" customFormat="false" ht="23.85" hidden="false" customHeight="false" outlineLevel="0" collapsed="false">
      <c r="A49" s="2" t="s">
        <v>233</v>
      </c>
      <c r="B49" s="3" t="s">
        <v>234</v>
      </c>
      <c r="C49" s="4" t="s">
        <v>235</v>
      </c>
      <c r="D49" s="4" t="s">
        <v>236</v>
      </c>
      <c r="E49" s="3" t="s">
        <v>228</v>
      </c>
      <c r="F49" s="5" t="s">
        <v>16</v>
      </c>
      <c r="G49" s="10" t="s">
        <v>65</v>
      </c>
      <c r="H49" s="4" t="s">
        <v>42</v>
      </c>
      <c r="I49" s="7" t="n">
        <v>0.25</v>
      </c>
      <c r="J49" s="4"/>
      <c r="K49" s="3" t="s">
        <v>19</v>
      </c>
    </row>
    <row r="50" customFormat="false" ht="23.85" hidden="false" customHeight="false" outlineLevel="0" collapsed="false">
      <c r="A50" s="2" t="s">
        <v>237</v>
      </c>
      <c r="B50" s="3" t="s">
        <v>238</v>
      </c>
      <c r="C50" s="4" t="s">
        <v>239</v>
      </c>
      <c r="D50" s="4" t="s">
        <v>240</v>
      </c>
      <c r="E50" s="3" t="s">
        <v>241</v>
      </c>
      <c r="F50" s="5" t="s">
        <v>16</v>
      </c>
      <c r="G50" s="6" t="s">
        <v>17</v>
      </c>
      <c r="H50" s="4" t="s">
        <v>242</v>
      </c>
      <c r="I50" s="7" t="n">
        <v>5</v>
      </c>
      <c r="J50" s="4" t="s">
        <v>157</v>
      </c>
      <c r="K50" s="3" t="s">
        <v>19</v>
      </c>
    </row>
    <row r="51" customFormat="false" ht="23.85" hidden="false" customHeight="false" outlineLevel="0" collapsed="false">
      <c r="A51" s="2" t="s">
        <v>243</v>
      </c>
      <c r="B51" s="3" t="s">
        <v>244</v>
      </c>
      <c r="C51" s="4" t="s">
        <v>245</v>
      </c>
      <c r="D51" s="4" t="s">
        <v>246</v>
      </c>
      <c r="E51" s="3" t="s">
        <v>241</v>
      </c>
      <c r="F51" s="5" t="s">
        <v>16</v>
      </c>
      <c r="G51" s="6" t="s">
        <v>17</v>
      </c>
      <c r="H51" s="4" t="s">
        <v>242</v>
      </c>
      <c r="I51" s="7" t="n">
        <v>5</v>
      </c>
      <c r="J51" s="4" t="s">
        <v>157</v>
      </c>
      <c r="K51" s="3" t="s">
        <v>19</v>
      </c>
    </row>
    <row r="52" customFormat="false" ht="23.85" hidden="false" customHeight="false" outlineLevel="0" collapsed="false">
      <c r="A52" s="2" t="s">
        <v>247</v>
      </c>
      <c r="B52" s="3" t="s">
        <v>248</v>
      </c>
      <c r="C52" s="4" t="s">
        <v>249</v>
      </c>
      <c r="D52" s="4" t="s">
        <v>250</v>
      </c>
      <c r="E52" s="3" t="s">
        <v>241</v>
      </c>
      <c r="F52" s="5" t="s">
        <v>16</v>
      </c>
      <c r="G52" s="6" t="s">
        <v>17</v>
      </c>
      <c r="H52" s="4" t="s">
        <v>242</v>
      </c>
      <c r="I52" s="7" t="n">
        <v>2</v>
      </c>
      <c r="J52" s="4" t="s">
        <v>224</v>
      </c>
      <c r="K52" s="3" t="s">
        <v>19</v>
      </c>
    </row>
    <row r="53" customFormat="false" ht="23.85" hidden="false" customHeight="false" outlineLevel="0" collapsed="false">
      <c r="A53" s="2" t="s">
        <v>251</v>
      </c>
      <c r="B53" s="3" t="s">
        <v>252</v>
      </c>
      <c r="C53" s="4" t="s">
        <v>253</v>
      </c>
      <c r="D53" s="4" t="s">
        <v>254</v>
      </c>
      <c r="E53" s="3" t="s">
        <v>241</v>
      </c>
      <c r="F53" s="5" t="s">
        <v>16</v>
      </c>
      <c r="G53" s="6" t="s">
        <v>17</v>
      </c>
      <c r="H53" s="4" t="s">
        <v>242</v>
      </c>
      <c r="I53" s="7" t="n">
        <v>1</v>
      </c>
      <c r="J53" s="4"/>
      <c r="K53" s="3" t="s">
        <v>19</v>
      </c>
    </row>
    <row r="54" customFormat="false" ht="23.85" hidden="false" customHeight="false" outlineLevel="0" collapsed="false">
      <c r="A54" s="2" t="s">
        <v>255</v>
      </c>
      <c r="B54" s="3" t="s">
        <v>256</v>
      </c>
      <c r="C54" s="4" t="s">
        <v>257</v>
      </c>
      <c r="D54" s="4" t="s">
        <v>258</v>
      </c>
      <c r="E54" s="3" t="s">
        <v>241</v>
      </c>
      <c r="F54" s="5" t="s">
        <v>16</v>
      </c>
      <c r="G54" s="6" t="s">
        <v>17</v>
      </c>
      <c r="H54" s="4" t="s">
        <v>242</v>
      </c>
      <c r="I54" s="7" t="n">
        <v>2</v>
      </c>
      <c r="J54" s="4" t="s">
        <v>259</v>
      </c>
      <c r="K54" s="3" t="s">
        <v>19</v>
      </c>
    </row>
  </sheetData>
  <autoFilter ref="A1:K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1" t="s">
        <v>260</v>
      </c>
      <c r="B1" s="11"/>
      <c r="C1" s="11"/>
    </row>
    <row r="3" customFormat="false" ht="15" hidden="false" customHeight="false" outlineLevel="0" collapsed="false">
      <c r="A3" s="12" t="s">
        <v>261</v>
      </c>
      <c r="B3" s="13" t="n">
        <f aca="false">COUNTA(Tickets!A2:A54)</f>
        <v>53</v>
      </c>
    </row>
    <row r="4" customFormat="false" ht="15" hidden="false" customHeight="false" outlineLevel="0" collapsed="false">
      <c r="A4" s="12" t="s">
        <v>262</v>
      </c>
      <c r="B4" s="13" t="n">
        <f aca="false">COUNTIF(Tickets!$G$2:$G$54,"P0")</f>
        <v>36</v>
      </c>
    </row>
    <row r="5" customFormat="false" ht="15" hidden="false" customHeight="false" outlineLevel="0" collapsed="false">
      <c r="A5" s="12" t="s">
        <v>263</v>
      </c>
      <c r="B5" s="13" t="n">
        <f aca="false">COUNTIF(Tickets!$G$2:$G$54,"P1")</f>
        <v>12</v>
      </c>
    </row>
    <row r="6" customFormat="false" ht="15" hidden="false" customHeight="false" outlineLevel="0" collapsed="false">
      <c r="A6" s="12" t="s">
        <v>264</v>
      </c>
      <c r="B6" s="13" t="n">
        <f aca="false">COUNTIF(Tickets!$G$2:$G$54,"P2")</f>
        <v>5</v>
      </c>
    </row>
    <row r="8" customFormat="false" ht="15" hidden="false" customHeight="false" outlineLevel="0" collapsed="false">
      <c r="A8" s="12" t="s">
        <v>265</v>
      </c>
      <c r="B8" s="13" t="n">
        <f aca="false">COUNTIF(Tickets!$F$2:$F$54,"Both")</f>
        <v>37</v>
      </c>
    </row>
    <row r="9" customFormat="false" ht="15" hidden="false" customHeight="false" outlineLevel="0" collapsed="false">
      <c r="A9" s="12" t="s">
        <v>266</v>
      </c>
      <c r="B9" s="13" t="n">
        <f aca="false">SUMIF(Tickets!$F$2:$F$54,"Both",Tickets!$I$2:$I$54)</f>
        <v>88.75</v>
      </c>
    </row>
    <row r="10" customFormat="false" ht="15" hidden="false" customHeight="false" outlineLevel="0" collapsed="false">
      <c r="A10" s="12" t="s">
        <v>267</v>
      </c>
      <c r="B10" s="13" t="n">
        <f aca="false">COUNTIF(Tickets!$F$2:$F$54,"Plan A")</f>
        <v>16</v>
      </c>
    </row>
    <row r="11" customFormat="false" ht="15" hidden="false" customHeight="false" outlineLevel="0" collapsed="false">
      <c r="A11" s="12" t="s">
        <v>268</v>
      </c>
      <c r="B11" s="13" t="n">
        <f aca="false">SUMIF(Tickets!$F$2:$F$54,"Plan A",Tickets!$I$2:$I$54)</f>
        <v>42.5</v>
      </c>
    </row>
    <row r="12" customFormat="false" ht="15" hidden="false" customHeight="false" outlineLevel="0" collapsed="false">
      <c r="A12" s="12" t="s">
        <v>269</v>
      </c>
      <c r="B12" s="13" t="n">
        <f aca="false">SUM(Tickets!I2:I54)</f>
        <v>131.25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2026-09-22T19:27:22Z</dcterms:created>
  <dc:creator>openpyxl</dc:creator>
  <dc:description/>
  <dc:language>en-US</dc:language>
  <cp:lastModifiedBy/>
  <dcterms:modified xsi:type="dcterms:W3CDTF">2026-09-22T19:27:22Z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